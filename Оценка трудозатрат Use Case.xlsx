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ВГУ\Магистратура\Проектный менеджмент\Проект\"/>
    </mc:Choice>
  </mc:AlternateContent>
  <xr:revisionPtr revIDLastSave="0" documentId="13_ncr:1_{7D0AB136-BD0F-4D0D-904C-CA2BEBFB1B65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H15" i="1"/>
  <c r="H14" i="1" l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J11" i="1" l="1"/>
  <c r="J12" i="1"/>
  <c r="J13" i="1"/>
  <c r="J14" i="1"/>
  <c r="J5" i="1"/>
  <c r="J9" i="1"/>
  <c r="J10" i="1"/>
  <c r="J6" i="1"/>
  <c r="J7" i="1"/>
  <c r="J8" i="1"/>
  <c r="J15" i="1" l="1"/>
  <c r="E18" i="1" l="1"/>
  <c r="G22" i="1" s="1"/>
</calcChain>
</file>

<file path=xl/sharedStrings.xml><?xml version="1.0" encoding="utf-8"?>
<sst xmlns="http://schemas.openxmlformats.org/spreadsheetml/2006/main" count="26" uniqueCount="25">
  <si>
    <t>S</t>
  </si>
  <si>
    <t>Вывод:</t>
  </si>
  <si>
    <t>№</t>
  </si>
  <si>
    <t>Ранжировка экспертов</t>
  </si>
  <si>
    <t>Также нет связных рангов =&gt; 1-ый случай</t>
  </si>
  <si>
    <t>Сумма рангов</t>
  </si>
  <si>
    <t>Оклонения от среднего</t>
  </si>
  <si>
    <t>Оклонения от среднего ^2</t>
  </si>
  <si>
    <t>Ср</t>
  </si>
  <si>
    <t>W</t>
  </si>
  <si>
    <t>Мнения наполовину согласованны</t>
  </si>
  <si>
    <t>Хи-квадрат рачётный</t>
  </si>
  <si>
    <t>Хи-квадрат табличный</t>
  </si>
  <si>
    <t>Хи-расчётный &gt; Хи-табличный, значит W значимо отличается от нуля</t>
  </si>
  <si>
    <t>UC</t>
  </si>
  <si>
    <t>UC-1</t>
  </si>
  <si>
    <t>UC-2</t>
  </si>
  <si>
    <t>UC-3</t>
  </si>
  <si>
    <t>UC-4</t>
  </si>
  <si>
    <t>UC-5</t>
  </si>
  <si>
    <t>UC-6</t>
  </si>
  <si>
    <t>UC-7</t>
  </si>
  <si>
    <t>UC-8</t>
  </si>
  <si>
    <t>UC-9</t>
  </si>
  <si>
    <t>UC-10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</si>
</sst>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J29"/>
  <sheetViews>
    <sheetView tabSelected="1" workbookViewId="0">
      <selection activeCell="J19" sqref="J19"/>
    </sheetView>
  </sheetViews>
  <sheetFormatPr defaultRowHeight="15" x14ac:dyDescent="0.25"/>
  <cols>
    <col min="8" max="8" width="27.85546875" customWidth="1"/>
    <col min="9" max="9" width="26.7109375" customWidth="1"/>
    <col min="10" max="10" width="29.5703125" customWidth="1"/>
  </cols>
  <sheetData>
    <row r="3" spans="3:10" x14ac:dyDescent="0.25">
      <c r="C3" s="10" t="s">
        <v>2</v>
      </c>
      <c r="D3" s="10" t="s">
        <v>14</v>
      </c>
      <c r="E3" s="15" t="s">
        <v>3</v>
      </c>
      <c r="F3" s="16"/>
      <c r="G3" s="17"/>
      <c r="H3" s="8" t="s">
        <v>4</v>
      </c>
      <c r="I3" s="8"/>
      <c r="J3" s="8"/>
    </row>
    <row r="4" spans="3:10" x14ac:dyDescent="0.25">
      <c r="C4" s="11"/>
      <c r="D4" s="11"/>
      <c r="E4" s="4">
        <v>1</v>
      </c>
      <c r="F4" s="4">
        <v>2</v>
      </c>
      <c r="G4" s="4">
        <v>3</v>
      </c>
      <c r="H4" s="4" t="s">
        <v>5</v>
      </c>
      <c r="I4" s="4" t="s">
        <v>6</v>
      </c>
      <c r="J4" s="4" t="s">
        <v>7</v>
      </c>
    </row>
    <row r="5" spans="3:10" x14ac:dyDescent="0.25">
      <c r="C5" s="4">
        <v>1</v>
      </c>
      <c r="D5" s="4" t="s">
        <v>15</v>
      </c>
      <c r="E5" s="3">
        <v>1</v>
      </c>
      <c r="F5" s="3">
        <v>2</v>
      </c>
      <c r="G5" s="3">
        <v>2</v>
      </c>
      <c r="H5" s="3">
        <f>SUM(E5:G5)</f>
        <v>5</v>
      </c>
      <c r="I5" s="3">
        <f>H5-$H$15</f>
        <v>-11.5</v>
      </c>
      <c r="J5" s="3">
        <f>I5^2</f>
        <v>132.25</v>
      </c>
    </row>
    <row r="6" spans="3:10" x14ac:dyDescent="0.25">
      <c r="C6" s="4">
        <v>2</v>
      </c>
      <c r="D6" s="4" t="s">
        <v>16</v>
      </c>
      <c r="E6" s="3">
        <v>2</v>
      </c>
      <c r="F6" s="3">
        <v>1</v>
      </c>
      <c r="G6" s="3">
        <v>1</v>
      </c>
      <c r="H6" s="3">
        <f>SUM(E6:G6)</f>
        <v>4</v>
      </c>
      <c r="I6" s="3">
        <f t="shared" ref="I6:I14" si="0">H6-$H$15</f>
        <v>-12.5</v>
      </c>
      <c r="J6" s="3">
        <f t="shared" ref="J6:J16" si="1">I6^2</f>
        <v>156.25</v>
      </c>
    </row>
    <row r="7" spans="3:10" x14ac:dyDescent="0.25">
      <c r="C7" s="4">
        <v>3</v>
      </c>
      <c r="D7" s="4" t="s">
        <v>17</v>
      </c>
      <c r="E7" s="3">
        <v>3</v>
      </c>
      <c r="F7" s="3">
        <v>3</v>
      </c>
      <c r="G7" s="3">
        <v>4</v>
      </c>
      <c r="H7" s="3">
        <f>SUM(E7:G7)</f>
        <v>10</v>
      </c>
      <c r="I7" s="3">
        <f t="shared" si="0"/>
        <v>-6.5</v>
      </c>
      <c r="J7" s="3">
        <f t="shared" si="1"/>
        <v>42.25</v>
      </c>
    </row>
    <row r="8" spans="3:10" x14ac:dyDescent="0.25">
      <c r="C8" s="4">
        <v>4</v>
      </c>
      <c r="D8" s="4" t="s">
        <v>18</v>
      </c>
      <c r="E8" s="3">
        <v>4</v>
      </c>
      <c r="F8" s="3">
        <v>4</v>
      </c>
      <c r="G8" s="3">
        <v>3</v>
      </c>
      <c r="H8" s="3">
        <f>SUM(E8:G8)</f>
        <v>11</v>
      </c>
      <c r="I8" s="3">
        <f t="shared" si="0"/>
        <v>-5.5</v>
      </c>
      <c r="J8" s="3">
        <f t="shared" si="1"/>
        <v>30.25</v>
      </c>
    </row>
    <row r="9" spans="3:10" x14ac:dyDescent="0.25">
      <c r="C9" s="4">
        <v>5</v>
      </c>
      <c r="D9" s="4" t="s">
        <v>19</v>
      </c>
      <c r="E9" s="3">
        <v>9</v>
      </c>
      <c r="F9" s="3">
        <v>10</v>
      </c>
      <c r="G9" s="3">
        <v>9</v>
      </c>
      <c r="H9" s="3">
        <f>SUM(E9:G9)</f>
        <v>28</v>
      </c>
      <c r="I9" s="3">
        <f t="shared" si="0"/>
        <v>11.5</v>
      </c>
      <c r="J9" s="3">
        <f t="shared" si="1"/>
        <v>132.25</v>
      </c>
    </row>
    <row r="10" spans="3:10" x14ac:dyDescent="0.25">
      <c r="C10" s="4">
        <v>6</v>
      </c>
      <c r="D10" s="4" t="s">
        <v>20</v>
      </c>
      <c r="E10" s="3">
        <v>7</v>
      </c>
      <c r="F10" s="3">
        <v>7</v>
      </c>
      <c r="G10" s="3">
        <v>8</v>
      </c>
      <c r="H10" s="3">
        <f>SUM(E10:G10)</f>
        <v>22</v>
      </c>
      <c r="I10" s="3">
        <f t="shared" si="0"/>
        <v>5.5</v>
      </c>
      <c r="J10" s="3">
        <f t="shared" si="1"/>
        <v>30.25</v>
      </c>
    </row>
    <row r="11" spans="3:10" x14ac:dyDescent="0.25">
      <c r="C11" s="4">
        <v>7</v>
      </c>
      <c r="D11" s="4" t="s">
        <v>21</v>
      </c>
      <c r="E11" s="3">
        <v>6</v>
      </c>
      <c r="F11" s="3">
        <v>6</v>
      </c>
      <c r="G11" s="3">
        <v>5</v>
      </c>
      <c r="H11" s="3">
        <f>SUM(E11:G11)</f>
        <v>17</v>
      </c>
      <c r="I11" s="3">
        <f t="shared" si="0"/>
        <v>0.5</v>
      </c>
      <c r="J11" s="3">
        <f t="shared" si="1"/>
        <v>0.25</v>
      </c>
    </row>
    <row r="12" spans="3:10" x14ac:dyDescent="0.25">
      <c r="C12" s="4">
        <v>8</v>
      </c>
      <c r="D12" s="4" t="s">
        <v>22</v>
      </c>
      <c r="E12" s="3">
        <v>5</v>
      </c>
      <c r="F12" s="3">
        <v>5</v>
      </c>
      <c r="G12" s="3">
        <v>6</v>
      </c>
      <c r="H12" s="3">
        <f>SUM(E12:G12)</f>
        <v>16</v>
      </c>
      <c r="I12" s="3">
        <f t="shared" si="0"/>
        <v>-0.5</v>
      </c>
      <c r="J12" s="3">
        <f t="shared" si="1"/>
        <v>0.25</v>
      </c>
    </row>
    <row r="13" spans="3:10" x14ac:dyDescent="0.25">
      <c r="C13" s="4">
        <v>9</v>
      </c>
      <c r="D13" s="4" t="s">
        <v>23</v>
      </c>
      <c r="E13" s="3">
        <v>8</v>
      </c>
      <c r="F13" s="3">
        <v>8</v>
      </c>
      <c r="G13" s="3">
        <v>7</v>
      </c>
      <c r="H13" s="3">
        <f>SUM(E13:G13)</f>
        <v>23</v>
      </c>
      <c r="I13" s="3">
        <f t="shared" si="0"/>
        <v>6.5</v>
      </c>
      <c r="J13" s="3">
        <f t="shared" si="1"/>
        <v>42.25</v>
      </c>
    </row>
    <row r="14" spans="3:10" x14ac:dyDescent="0.25">
      <c r="C14" s="4">
        <v>10</v>
      </c>
      <c r="D14" s="4" t="s">
        <v>24</v>
      </c>
      <c r="E14" s="3">
        <v>10</v>
      </c>
      <c r="F14" s="3">
        <v>9</v>
      </c>
      <c r="G14" s="3">
        <v>10</v>
      </c>
      <c r="H14" s="3">
        <f>SUM(E14:G14)</f>
        <v>29</v>
      </c>
      <c r="I14" s="3">
        <f t="shared" si="0"/>
        <v>12.5</v>
      </c>
      <c r="J14" s="3">
        <f t="shared" si="1"/>
        <v>156.25</v>
      </c>
    </row>
    <row r="15" spans="3:10" x14ac:dyDescent="0.25">
      <c r="C15" s="4"/>
      <c r="D15" s="4"/>
      <c r="E15" s="3"/>
      <c r="F15" s="3"/>
      <c r="G15" s="3" t="s">
        <v>8</v>
      </c>
      <c r="H15" s="3">
        <f>(C14+1)*G4/2</f>
        <v>16.5</v>
      </c>
      <c r="I15" s="5" t="s">
        <v>0</v>
      </c>
      <c r="J15" s="3">
        <f>SUM(J5:J14)</f>
        <v>722.5</v>
      </c>
    </row>
    <row r="16" spans="3:10" x14ac:dyDescent="0.25">
      <c r="C16" s="12"/>
      <c r="D16" s="12"/>
      <c r="E16" s="13"/>
      <c r="F16" s="13"/>
      <c r="G16" s="13"/>
      <c r="H16" s="13"/>
      <c r="I16" s="13"/>
      <c r="J16" s="13"/>
    </row>
    <row r="17" spans="3:10" x14ac:dyDescent="0.25">
      <c r="C17" s="14"/>
      <c r="D17" s="14"/>
      <c r="E17" s="14"/>
      <c r="F17" s="14"/>
      <c r="G17" s="14"/>
      <c r="H17" s="14"/>
      <c r="I17" s="14"/>
      <c r="J17" s="14"/>
    </row>
    <row r="18" spans="3:10" x14ac:dyDescent="0.25">
      <c r="D18" s="6" t="s">
        <v>9</v>
      </c>
      <c r="E18">
        <f>12/(G4^2*(C14^3-C14))*J15</f>
        <v>0.97306397306397308</v>
      </c>
    </row>
    <row r="20" spans="3:10" x14ac:dyDescent="0.25">
      <c r="C20" s="1"/>
      <c r="D20" s="1" t="s">
        <v>1</v>
      </c>
      <c r="E20" s="7" t="s">
        <v>10</v>
      </c>
      <c r="F20" s="7"/>
      <c r="G20" s="7"/>
      <c r="H20" s="2"/>
    </row>
    <row r="22" spans="3:10" x14ac:dyDescent="0.25">
      <c r="C22" s="1"/>
      <c r="D22" s="2" t="s">
        <v>11</v>
      </c>
      <c r="E22" s="2"/>
      <c r="F22" s="2"/>
      <c r="G22">
        <f>E18*G4*(C14-1)</f>
        <v>26.272727272727273</v>
      </c>
    </row>
    <row r="23" spans="3:10" x14ac:dyDescent="0.25">
      <c r="C23" s="1"/>
      <c r="D23" s="2" t="s">
        <v>12</v>
      </c>
      <c r="E23" s="2"/>
      <c r="F23" s="2"/>
      <c r="G23">
        <f>CHIINV(0.05,C14-1)</f>
        <v>16.918977604620451</v>
      </c>
    </row>
    <row r="25" spans="3:10" x14ac:dyDescent="0.25">
      <c r="D25" s="1" t="s">
        <v>1</v>
      </c>
      <c r="E25" s="9" t="s">
        <v>13</v>
      </c>
      <c r="F25" s="9"/>
      <c r="G25" s="9"/>
      <c r="H25" s="9"/>
      <c r="I25" s="9"/>
    </row>
    <row r="29" spans="3:10" x14ac:dyDescent="0.25">
      <c r="C29" s="1"/>
      <c r="D29" s="7"/>
      <c r="E29" s="7"/>
      <c r="F29" s="7"/>
      <c r="G29" s="7"/>
    </row>
  </sheetData>
  <mergeCells count="5">
    <mergeCell ref="C3:C4"/>
    <mergeCell ref="E3:G3"/>
    <mergeCell ref="H3:J3"/>
    <mergeCell ref="E25:I25"/>
    <mergeCell ref="D3:D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dtolm</dc:creator>
  <cp:lastModifiedBy>dtolm</cp:lastModifiedBy>
  <dcterms:created xsi:type="dcterms:W3CDTF">2015-06-05T18:19:34Z</dcterms:created>
  <dcterms:modified xsi:type="dcterms:W3CDTF">2025-12-23T16:33:25Z</dcterms:modified>
</cp:coreProperties>
</file>