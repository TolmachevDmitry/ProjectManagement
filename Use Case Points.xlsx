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ВГУ\Магистратура\Проектный менеджмент\Проект\"/>
    </mc:Choice>
  </mc:AlternateContent>
  <xr:revisionPtr revIDLastSave="0" documentId="13_ncr:1_{29D525AF-2D7B-4C74-B54E-1DC32298A5D0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2" i="1" l="1"/>
  <c r="D29" i="1"/>
  <c r="D26" i="1"/>
  <c r="D20" i="1" l="1"/>
  <c r="C20" i="1"/>
  <c r="D23" i="1" s="1"/>
  <c r="D17" i="1"/>
  <c r="C17" i="1"/>
  <c r="F6" i="1"/>
  <c r="F7" i="1"/>
  <c r="F8" i="1"/>
  <c r="F9" i="1"/>
  <c r="F10" i="1"/>
  <c r="F11" i="1"/>
  <c r="F12" i="1"/>
  <c r="F13" i="1"/>
  <c r="F14" i="1"/>
  <c r="D6" i="1"/>
  <c r="D7" i="1"/>
  <c r="D8" i="1"/>
  <c r="D9" i="1"/>
  <c r="D10" i="1"/>
  <c r="D11" i="1"/>
  <c r="D12" i="1"/>
  <c r="D13" i="1"/>
  <c r="D14" i="1"/>
  <c r="F5" i="1"/>
  <c r="D5" i="1"/>
</calcChain>
</file>

<file path=xl/sharedStrings.xml><?xml version="1.0" encoding="utf-8"?>
<sst xmlns="http://schemas.openxmlformats.org/spreadsheetml/2006/main" count="72" uniqueCount="66">
  <si>
    <t>Use Case Complexity</t>
  </si>
  <si>
    <t>Number of transaction</t>
  </si>
  <si>
    <t>Weight</t>
  </si>
  <si>
    <t>Unadjusted Use Case Weight</t>
  </si>
  <si>
    <t>Actor Type</t>
  </si>
  <si>
    <t>Example</t>
  </si>
  <si>
    <t>UC-№</t>
  </si>
  <si>
    <t>Actor</t>
  </si>
  <si>
    <t>Игрок</t>
  </si>
  <si>
    <t>Фракции</t>
  </si>
  <si>
    <t>ИИ-система, дающая отклики на действия пользователя по определенной логике</t>
  </si>
  <si>
    <t>Average</t>
  </si>
  <si>
    <t>Человек, постоянно взаимодействующий через GUI</t>
  </si>
  <si>
    <t>Complex</t>
  </si>
  <si>
    <t>UUCW</t>
  </si>
  <si>
    <t>UAW</t>
  </si>
  <si>
    <t>TCF</t>
  </si>
  <si>
    <t>EF</t>
  </si>
  <si>
    <t>UCP</t>
  </si>
  <si>
    <t>Factor</t>
  </si>
  <si>
    <t>Description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</si>
  <si>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</si>
  <si>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</si>
  <si>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</si>
  <si>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</si>
  <si>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</si>
  <si>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</si>
  <si>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</si>
  <si>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</si>
  <si>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</si>
  <si>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</si>
  <si>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</si>
  <si>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</si>
  <si>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</si>
  <si>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Distributed system</t>
  </si>
  <si>
    <t>Performance objectives</t>
  </si>
  <si>
    <t>End-user efficiency</t>
  </si>
  <si>
    <t>Complex processing</t>
  </si>
  <si>
    <t>Reusable code</t>
  </si>
  <si>
    <t>Easy to install</t>
  </si>
  <si>
    <t>Easy to use</t>
  </si>
  <si>
    <t>Portable</t>
  </si>
  <si>
    <t>Easy to change</t>
  </si>
  <si>
    <t>Concurrent use</t>
  </si>
  <si>
    <t>Security</t>
  </si>
  <si>
    <t>Access for third parties</t>
  </si>
  <si>
    <t>Training needs</t>
  </si>
  <si>
    <t>E1</t>
  </si>
  <si>
    <t>E2</t>
  </si>
  <si>
    <t>E3</t>
  </si>
  <si>
    <t>E4</t>
  </si>
  <si>
    <t>E5</t>
  </si>
  <si>
    <t>E6</t>
  </si>
  <si>
    <t>E7</t>
  </si>
  <si>
    <t>E8</t>
  </si>
  <si>
    <t>Familiar with the development process</t>
  </si>
  <si>
    <t>Application experience</t>
  </si>
  <si>
    <t>Object-oriented experience</t>
  </si>
  <si>
    <t>Lead analyst capability</t>
  </si>
  <si>
    <t>Motivation</t>
  </si>
  <si>
    <t>Stable requirements</t>
  </si>
  <si>
    <t>Difficult programming language</t>
  </si>
  <si>
    <t>Part-time staff</t>
  </si>
  <si>
    <t>E1-E6 &gt; 3, E7-E8 &lt; 3</t>
  </si>
  <si>
    <t>Базовая цена (час)</t>
  </si>
  <si>
    <t>Трудозатараты (час)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</si>
</sst>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0F1115"/>
      <name val="Calibri"/>
      <family val="2"/>
      <charset val="204"/>
    </font>
    <font>
      <sz val="11"/>
      <color rgb="FF0F1115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38"/>
  <sheetViews>
    <sheetView tabSelected="1" workbookViewId="0">
      <selection activeCell="F27" sqref="F27"/>
    </sheetView>
  </sheetViews>
  <sheetFormatPr defaultRowHeight="15" x14ac:dyDescent="0.25"/>
  <cols>
    <col min="4" max="6" width="20.7109375" customWidth="1"/>
    <col min="9" max="9" width="13.7109375" customWidth="1"/>
    <col min="10" max="10" width="20.7109375" customWidth="1"/>
    <col min="11" max="11" width="80.7109375" customWidth="1"/>
    <col min="12" max="12" width="20.7109375" customWidth="1"/>
  </cols>
  <sheetData>
    <row r="3" spans="3:12" x14ac:dyDescent="0.25">
      <c r="C3" s="10" t="s">
        <v>3</v>
      </c>
      <c r="D3" s="10"/>
      <c r="E3" s="10"/>
      <c r="F3" s="10"/>
      <c r="I3" s="10" t="s">
        <v>3</v>
      </c>
      <c r="J3" s="10"/>
      <c r="K3" s="10"/>
      <c r="L3" s="10"/>
    </row>
    <row r="4" spans="3:12" x14ac:dyDescent="0.25">
      <c r="C4" s="3" t="s">
        <v>6</v>
      </c>
      <c r="D4" s="3" t="s">
        <v>0</v>
      </c>
      <c r="E4" s="3" t="s">
        <v>1</v>
      </c>
      <c r="F4" s="3" t="s">
        <v>2</v>
      </c>
      <c r="I4" s="3" t="s">
        <v>7</v>
      </c>
      <c r="J4" s="3" t="s">
        <v>4</v>
      </c>
      <c r="K4" s="3" t="s">
        <v>5</v>
      </c>
      <c r="L4" s="3" t="s">
        <v>2</v>
      </c>
    </row>
    <row r="5" spans="3:12" x14ac:dyDescent="0.25">
      <c r="C5" s="1">
        <v>1</v>
      </c>
      <c r="D5" s="1" t="str">
        <f>IF(E5 &lt;= 3, "Simple", IF(E5 &lt;= 7, "Average", "Complex"))</f>
        <v>Average</v>
      </c>
      <c r="E5" s="1">
        <v>7</v>
      </c>
      <c r="F5" s="1">
        <f>IF(E5 &lt;= 3, 5, IF(E5 &lt;= 7, 10, 15))</f>
        <v>10</v>
      </c>
      <c r="I5" s="1" t="s">
        <v>8</v>
      </c>
      <c r="J5" s="1" t="s">
        <v>13</v>
      </c>
      <c r="K5" s="1" t="s">
        <v>12</v>
      </c>
      <c r="L5" s="1">
        <v>15</v>
      </c>
    </row>
    <row r="6" spans="3:12" x14ac:dyDescent="0.25">
      <c r="C6" s="1">
        <v>2</v>
      </c>
      <c r="D6" s="1" t="str">
        <f t="shared" ref="D6:D14" si="0">IF(E6 &lt;= 3, "Simple", IF(E6 &lt;= 7, "Average", "Complex"))</f>
        <v>Average</v>
      </c>
      <c r="E6" s="1">
        <v>7</v>
      </c>
      <c r="F6" s="1">
        <f t="shared" ref="F6:F14" si="1">IF(E6 &lt;= 3, 5, IF(E6 &lt;= 7, 10, 15))</f>
        <v>10</v>
      </c>
      <c r="I6" s="1" t="s">
        <v>9</v>
      </c>
      <c r="J6" s="1" t="s">
        <v>11</v>
      </c>
      <c r="K6" s="1" t="s">
        <v>10</v>
      </c>
      <c r="L6" s="1">
        <v>10</v>
      </c>
    </row>
    <row r="7" spans="3:12" x14ac:dyDescent="0.25">
      <c r="C7" s="1">
        <v>3</v>
      </c>
      <c r="D7" s="1" t="str">
        <f t="shared" si="0"/>
        <v>Simple</v>
      </c>
      <c r="E7" s="1">
        <v>2</v>
      </c>
      <c r="F7" s="1">
        <f t="shared" si="1"/>
        <v>5</v>
      </c>
    </row>
    <row r="8" spans="3:12" x14ac:dyDescent="0.25">
      <c r="C8" s="1">
        <v>4</v>
      </c>
      <c r="D8" s="1" t="str">
        <f t="shared" si="0"/>
        <v>Simple</v>
      </c>
      <c r="E8" s="1">
        <v>2</v>
      </c>
      <c r="F8" s="1">
        <f t="shared" si="1"/>
        <v>5</v>
      </c>
    </row>
    <row r="9" spans="3:12" x14ac:dyDescent="0.25">
      <c r="C9" s="1">
        <v>5</v>
      </c>
      <c r="D9" s="1" t="str">
        <f t="shared" si="0"/>
        <v>Average</v>
      </c>
      <c r="E9" s="1">
        <v>7</v>
      </c>
      <c r="F9" s="1">
        <f t="shared" si="1"/>
        <v>10</v>
      </c>
      <c r="J9" s="5" t="s">
        <v>19</v>
      </c>
      <c r="K9" s="5" t="s">
        <v>20</v>
      </c>
      <c r="L9" s="5" t="s">
        <v>2</v>
      </c>
    </row>
    <row r="10" spans="3:12" x14ac:dyDescent="0.25">
      <c r="C10" s="1">
        <v>6</v>
      </c>
      <c r="D10" s="1" t="str">
        <f t="shared" si="0"/>
        <v>Average</v>
      </c>
      <c r="E10" s="1">
        <v>4</v>
      </c>
      <c r="F10" s="1">
        <f t="shared" si="1"/>
        <v>10</v>
      </c>
      <c r="J10" s="1" t="s">
        <v>21</v>
      </c>
      <c r="K10" s="1" t="s">
        <v>34</v>
      </c>
      <c r="L10" s="1">
        <v>0</v>
      </c>
    </row>
    <row r="11" spans="3:12" x14ac:dyDescent="0.25">
      <c r="C11" s="1">
        <v>7</v>
      </c>
      <c r="D11" s="1" t="str">
        <f t="shared" si="0"/>
        <v>Simple</v>
      </c>
      <c r="E11" s="1">
        <v>2</v>
      </c>
      <c r="F11" s="1">
        <f t="shared" si="1"/>
        <v>5</v>
      </c>
      <c r="J11" s="1" t="s">
        <v>22</v>
      </c>
      <c r="K11" s="6" t="s">
        <v>35</v>
      </c>
      <c r="L11" s="1">
        <v>5</v>
      </c>
    </row>
    <row r="12" spans="3:12" x14ac:dyDescent="0.25">
      <c r="C12" s="1">
        <v>8</v>
      </c>
      <c r="D12" s="1" t="str">
        <f t="shared" si="0"/>
        <v>Simple</v>
      </c>
      <c r="E12" s="1">
        <v>2</v>
      </c>
      <c r="F12" s="1">
        <f t="shared" si="1"/>
        <v>5</v>
      </c>
      <c r="J12" s="1" t="s">
        <v>23</v>
      </c>
      <c r="K12" s="6" t="s">
        <v>36</v>
      </c>
      <c r="L12" s="1">
        <v>5</v>
      </c>
    </row>
    <row r="13" spans="3:12" x14ac:dyDescent="0.25">
      <c r="C13" s="1">
        <v>9</v>
      </c>
      <c r="D13" s="1" t="str">
        <f t="shared" si="0"/>
        <v>Simple</v>
      </c>
      <c r="E13" s="1">
        <v>2</v>
      </c>
      <c r="F13" s="1">
        <f t="shared" si="1"/>
        <v>5</v>
      </c>
      <c r="J13" s="1" t="s">
        <v>24</v>
      </c>
      <c r="K13" s="6" t="s">
        <v>37</v>
      </c>
      <c r="L13" s="1">
        <v>4</v>
      </c>
    </row>
    <row r="14" spans="3:12" x14ac:dyDescent="0.25">
      <c r="C14" s="1">
        <v>10</v>
      </c>
      <c r="D14" s="1" t="str">
        <f t="shared" si="0"/>
        <v>Average</v>
      </c>
      <c r="E14" s="1">
        <v>5</v>
      </c>
      <c r="F14" s="1">
        <f t="shared" si="1"/>
        <v>10</v>
      </c>
      <c r="J14" s="1" t="s">
        <v>25</v>
      </c>
      <c r="K14" s="6" t="s">
        <v>38</v>
      </c>
      <c r="L14" s="1">
        <v>5</v>
      </c>
    </row>
    <row r="15" spans="3:12" x14ac:dyDescent="0.25">
      <c r="J15" s="1" t="s">
        <v>26</v>
      </c>
      <c r="K15" s="6" t="s">
        <v>39</v>
      </c>
      <c r="L15" s="1">
        <v>1</v>
      </c>
    </row>
    <row r="16" spans="3:12" x14ac:dyDescent="0.25">
      <c r="C16" s="4" t="s">
        <v>14</v>
      </c>
      <c r="D16" s="4" t="s">
        <v>15</v>
      </c>
      <c r="J16" s="1" t="s">
        <v>27</v>
      </c>
      <c r="K16" s="6" t="s">
        <v>40</v>
      </c>
      <c r="L16" s="1">
        <v>4</v>
      </c>
    </row>
    <row r="17" spans="3:12" x14ac:dyDescent="0.25">
      <c r="C17" s="1">
        <f>SUM(F5:F14)</f>
        <v>75</v>
      </c>
      <c r="D17" s="1">
        <f>SUM(L5:L6)</f>
        <v>25</v>
      </c>
      <c r="J17" s="1" t="s">
        <v>28</v>
      </c>
      <c r="K17" s="6" t="s">
        <v>41</v>
      </c>
      <c r="L17" s="1">
        <v>1</v>
      </c>
    </row>
    <row r="18" spans="3:12" x14ac:dyDescent="0.25">
      <c r="J18" s="1" t="s">
        <v>29</v>
      </c>
      <c r="K18" s="6" t="s">
        <v>42</v>
      </c>
      <c r="L18" s="1">
        <v>5</v>
      </c>
    </row>
    <row r="19" spans="3:12" x14ac:dyDescent="0.25">
      <c r="C19" s="4" t="s">
        <v>16</v>
      </c>
      <c r="D19" s="4" t="s">
        <v>17</v>
      </c>
      <c r="J19" s="1" t="s">
        <v>30</v>
      </c>
      <c r="K19" s="6" t="s">
        <v>43</v>
      </c>
      <c r="L19" s="1">
        <v>0</v>
      </c>
    </row>
    <row r="20" spans="3:12" x14ac:dyDescent="0.25">
      <c r="C20" s="1">
        <f>0.6 + SUM(L10:L22)*0.01</f>
        <v>0.91999999999999993</v>
      </c>
      <c r="D20" s="1">
        <f>1.4 + SUM(L26:L33)*(-0.03)</f>
        <v>1.0999999999999999</v>
      </c>
      <c r="J20" s="1" t="s">
        <v>31</v>
      </c>
      <c r="K20" s="6" t="s">
        <v>44</v>
      </c>
      <c r="L20" s="1">
        <v>0</v>
      </c>
    </row>
    <row r="21" spans="3:12" x14ac:dyDescent="0.25">
      <c r="J21" s="1" t="s">
        <v>32</v>
      </c>
      <c r="K21" s="6" t="s">
        <v>45</v>
      </c>
      <c r="L21" s="1">
        <v>0</v>
      </c>
    </row>
    <row r="22" spans="3:12" x14ac:dyDescent="0.25">
      <c r="D22" s="4" t="s">
        <v>18</v>
      </c>
      <c r="J22" s="1" t="s">
        <v>33</v>
      </c>
      <c r="K22" s="6" t="s">
        <v>46</v>
      </c>
      <c r="L22" s="1">
        <v>2</v>
      </c>
    </row>
    <row r="23" spans="3:12" x14ac:dyDescent="0.25">
      <c r="D23" s="1">
        <f>(C17+D17)*C20*D20</f>
        <v>101.19999999999999</v>
      </c>
      <c r="J23" s="2"/>
      <c r="K23" s="2"/>
      <c r="L23" s="2"/>
    </row>
    <row r="24" spans="3:12" x14ac:dyDescent="0.25">
      <c r="J24" s="2"/>
      <c r="K24" s="2"/>
      <c r="L24" s="2"/>
    </row>
    <row r="25" spans="3:12" x14ac:dyDescent="0.25">
      <c r="D25" s="4" t="s">
        <v>63</v>
      </c>
      <c r="J25" s="5" t="s">
        <v>19</v>
      </c>
      <c r="K25" s="5" t="s">
        <v>20</v>
      </c>
      <c r="L25" s="5" t="s">
        <v>2</v>
      </c>
    </row>
    <row r="26" spans="3:12" x14ac:dyDescent="0.25">
      <c r="D26" s="1">
        <f>COUNTIF(L26:L31,"&gt;3") + COUNTIF(L32:L33, "&gt;-3")</f>
        <v>2</v>
      </c>
      <c r="J26" s="1" t="s">
        <v>47</v>
      </c>
      <c r="K26" s="9" t="s">
        <v>55</v>
      </c>
      <c r="L26" s="1">
        <v>3</v>
      </c>
    </row>
    <row r="27" spans="3:12" x14ac:dyDescent="0.25">
      <c r="J27" s="1" t="s">
        <v>48</v>
      </c>
      <c r="K27" s="9" t="s">
        <v>56</v>
      </c>
      <c r="L27" s="1">
        <v>3</v>
      </c>
    </row>
    <row r="28" spans="3:12" x14ac:dyDescent="0.25">
      <c r="D28" s="4" t="s">
        <v>64</v>
      </c>
      <c r="J28" s="1" t="s">
        <v>49</v>
      </c>
      <c r="K28" s="9" t="s">
        <v>57</v>
      </c>
      <c r="L28" s="1">
        <v>3</v>
      </c>
    </row>
    <row r="29" spans="3:12" x14ac:dyDescent="0.25">
      <c r="D29" s="1">
        <f>IF(D26 &lt;= 2, 20, IF(D26 &lt;= 4, 28, 0))</f>
        <v>20</v>
      </c>
      <c r="J29" s="1" t="s">
        <v>50</v>
      </c>
      <c r="K29" s="9" t="s">
        <v>58</v>
      </c>
      <c r="L29" s="1">
        <v>1</v>
      </c>
    </row>
    <row r="30" spans="3:12" x14ac:dyDescent="0.25">
      <c r="J30" s="1" t="s">
        <v>51</v>
      </c>
      <c r="K30" s="9" t="s">
        <v>59</v>
      </c>
      <c r="L30" s="1">
        <v>2</v>
      </c>
    </row>
    <row r="31" spans="3:12" x14ac:dyDescent="0.25">
      <c r="D31" s="4" t="s">
        <v>65</v>
      </c>
      <c r="J31" s="1" t="s">
        <v>52</v>
      </c>
      <c r="K31" s="9" t="s">
        <v>60</v>
      </c>
      <c r="L31" s="1">
        <v>5</v>
      </c>
    </row>
    <row r="32" spans="3:12" x14ac:dyDescent="0.25">
      <c r="D32" s="1">
        <f>D23*D29</f>
        <v>2023.9999999999998</v>
      </c>
      <c r="J32" s="1" t="s">
        <v>53</v>
      </c>
      <c r="K32" s="9" t="s">
        <v>62</v>
      </c>
      <c r="L32" s="1">
        <v>-5</v>
      </c>
    </row>
    <row r="33" spans="10:12" x14ac:dyDescent="0.25">
      <c r="J33" s="1" t="s">
        <v>54</v>
      </c>
      <c r="K33" s="9" t="s">
        <v>61</v>
      </c>
      <c r="L33" s="1">
        <v>-2</v>
      </c>
    </row>
    <row r="34" spans="10:12" x14ac:dyDescent="0.25">
      <c r="J34" s="7"/>
      <c r="K34" s="8"/>
      <c r="L34" s="7"/>
    </row>
    <row r="35" spans="10:12" x14ac:dyDescent="0.25">
      <c r="J35" s="7"/>
      <c r="K35" s="8"/>
      <c r="L35" s="7"/>
    </row>
    <row r="36" spans="10:12" x14ac:dyDescent="0.25">
      <c r="J36" s="7"/>
      <c r="K36" s="8"/>
      <c r="L36" s="7"/>
    </row>
    <row r="37" spans="10:12" x14ac:dyDescent="0.25">
      <c r="J37" s="7"/>
      <c r="K37" s="8"/>
      <c r="L37" s="7"/>
    </row>
    <row r="38" spans="10:12" x14ac:dyDescent="0.25">
      <c r="J38" s="7"/>
      <c r="K38" s="8"/>
      <c r="L38" s="7"/>
    </row>
  </sheetData>
  <mergeCells count="2">
    <mergeCell ref="C3:F3"/>
    <mergeCell ref="I3:L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dtolm</dc:creator>
  <cp:lastModifiedBy>dtolm</cp:lastModifiedBy>
  <dcterms:created xsi:type="dcterms:W3CDTF">2015-06-05T18:19:34Z</dcterms:created>
  <dcterms:modified xsi:type="dcterms:W3CDTF">2025-12-23T03:06:56Z</dcterms:modified>
</cp:coreProperties>
</file>